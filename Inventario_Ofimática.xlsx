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complus\Downloads\iventario\"/>
    </mc:Choice>
  </mc:AlternateContent>
  <xr:revisionPtr revIDLastSave="0" documentId="8_{1135F33E-E30E-41D1-8846-6B76105234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entario" sheetId="1" r:id="rId1"/>
    <sheet name="Instruccion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E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G20" i="1" s="1"/>
  <c r="I7" i="1"/>
  <c r="G7" i="1"/>
  <c r="I6" i="1"/>
  <c r="G6" i="1"/>
  <c r="I5" i="1"/>
  <c r="G5" i="1"/>
</calcChain>
</file>

<file path=xl/sharedStrings.xml><?xml version="1.0" encoding="utf-8"?>
<sst xmlns="http://schemas.openxmlformats.org/spreadsheetml/2006/main" count="138" uniqueCount="84">
  <si>
    <t>MODELO DE INVENTARIO</t>
  </si>
  <si>
    <t>Herramientas Ofimáticas — Unidad 1 | Bogotá, 2025</t>
  </si>
  <si>
    <t>CÓDIGO</t>
  </si>
  <si>
    <t>NOMBRE DEL PRODUCTO</t>
  </si>
  <si>
    <t>CATEGORÍA</t>
  </si>
  <si>
    <t>UNIDAD</t>
  </si>
  <si>
    <t>CANTIDAD</t>
  </si>
  <si>
    <t>PRECIO UNITARIO ($)</t>
  </si>
  <si>
    <t>VALOR TOTAL ($)</t>
  </si>
  <si>
    <t>STOCK MÍNIMO</t>
  </si>
  <si>
    <t>ESTADO</t>
  </si>
  <si>
    <t>OBSERVACIONES</t>
  </si>
  <si>
    <t>P001</t>
  </si>
  <si>
    <t>Resma de papel carta</t>
  </si>
  <si>
    <t>Papelería</t>
  </si>
  <si>
    <t>Resma</t>
  </si>
  <si>
    <t>En bodega</t>
  </si>
  <si>
    <t>P002</t>
  </si>
  <si>
    <t>Bolígrafos azules x12</t>
  </si>
  <si>
    <t>Caja</t>
  </si>
  <si>
    <t>Disponible</t>
  </si>
  <si>
    <t>P003</t>
  </si>
  <si>
    <t>Cartuchos de tinta negra</t>
  </si>
  <si>
    <t>Sistemas</t>
  </si>
  <si>
    <t>Unidad</t>
  </si>
  <si>
    <t>P004</t>
  </si>
  <si>
    <t>Carpetas AZ</t>
  </si>
  <si>
    <t>Archivo</t>
  </si>
  <si>
    <t>P005</t>
  </si>
  <si>
    <t>Marcadores permanentes</t>
  </si>
  <si>
    <t>P006</t>
  </si>
  <si>
    <t>Papel carta x500 (reciclado)</t>
  </si>
  <si>
    <t>⚠ Stock bajo</t>
  </si>
  <si>
    <t>P007</t>
  </si>
  <si>
    <t>Mouse inalámbrico</t>
  </si>
  <si>
    <t>P008</t>
  </si>
  <si>
    <t>Teclado USB</t>
  </si>
  <si>
    <t>P009</t>
  </si>
  <si>
    <t>USB 32GB</t>
  </si>
  <si>
    <t>P010</t>
  </si>
  <si>
    <t>Grapadora metálica</t>
  </si>
  <si>
    <t>P011</t>
  </si>
  <si>
    <t>Cinta adhesiva x6</t>
  </si>
  <si>
    <t>Paquete</t>
  </si>
  <si>
    <t>P012</t>
  </si>
  <si>
    <t>Resaltadores x5</t>
  </si>
  <si>
    <t>Estuche</t>
  </si>
  <si>
    <t>P013</t>
  </si>
  <si>
    <t>Post-it notas adhesivas</t>
  </si>
  <si>
    <t>Pack</t>
  </si>
  <si>
    <t>P014</t>
  </si>
  <si>
    <t>Tijeras de oficina</t>
  </si>
  <si>
    <t>P015</t>
  </si>
  <si>
    <t>Tóner HP LaserJet</t>
  </si>
  <si>
    <t>TOTALES DEL INVENTARIO</t>
  </si>
  <si>
    <t>Valor total:</t>
  </si>
  <si>
    <t>GUÍA DE USO — MODELO DE INVENTARIO</t>
  </si>
  <si>
    <t>CAMPO</t>
  </si>
  <si>
    <t>DESCRIPCIÓN</t>
  </si>
  <si>
    <t>TIPO</t>
  </si>
  <si>
    <t>EJEMPLO</t>
  </si>
  <si>
    <t>OBLIGATORIO</t>
  </si>
  <si>
    <t>Identificador único del producto</t>
  </si>
  <si>
    <t>Texto</t>
  </si>
  <si>
    <t>Sí</t>
  </si>
  <si>
    <t>NOMBRE</t>
  </si>
  <si>
    <t>Nombre descriptivo del producto</t>
  </si>
  <si>
    <t>Resma de papel</t>
  </si>
  <si>
    <t>Grupo al que pertenece</t>
  </si>
  <si>
    <t>Unidad de medida</t>
  </si>
  <si>
    <t>Unidad / Caja</t>
  </si>
  <si>
    <t>Stock disponible actualmente</t>
  </si>
  <si>
    <t>Número</t>
  </si>
  <si>
    <t>15</t>
  </si>
  <si>
    <t>PRECIO UNITARIO</t>
  </si>
  <si>
    <t>Valor por unidad en pesos</t>
  </si>
  <si>
    <t>12500</t>
  </si>
  <si>
    <t>VALOR TOTAL</t>
  </si>
  <si>
    <t>Calculado automáticamente (cantidad × precio)</t>
  </si>
  <si>
    <t>Fórmula</t>
  </si>
  <si>
    <t>Auto</t>
  </si>
  <si>
    <t>Cantidad mínima antes de reabastecer</t>
  </si>
  <si>
    <t>5</t>
  </si>
  <si>
    <t>Calculado: OK o ⚠ BAJO según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</si>
</sst>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center"/>
    </xf>
    <xf numFmtId="0" fontId="0" fillId="2" borderId="2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276221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4" topLeftCell="A5" activePane="bottomLeft" state="frozen"/>
      <selection pane="bottomLeft" sqref="A1:J1"/>
    </sheetView>
  </sheetViews>
  <sheetFormatPr baseColWidth="10" defaultColWidth="8.7265625" defaultRowHeight="14.5" x14ac:dyDescent="0.35"/>
  <cols>
    <col min="1" max="1" width="10" customWidth="1"/>
    <col min="2" max="2" width="32" customWidth="1"/>
    <col min="3" max="3" width="15" customWidth="1"/>
    <col min="4" max="4" width="10" customWidth="1"/>
    <col min="5" max="5" width="12" customWidth="1"/>
    <col min="6" max="6" width="20" customWidth="1"/>
    <col min="7" max="7" width="18" customWidth="1"/>
    <col min="8" max="9" width="14" customWidth="1"/>
    <col min="10" max="10" width="22" customWidth="1"/>
  </cols>
  <sheetData>
    <row r="1" spans="1:10" ht="3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0" customHeight="1" x14ac:dyDescent="0.3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8" customHeight="1" x14ac:dyDescent="0.35"/>
    <row r="4" spans="1:10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2" customHeight="1" x14ac:dyDescent="0.35">
      <c r="A5" s="2" t="s">
        <v>12</v>
      </c>
      <c r="B5" s="3" t="s">
        <v>13</v>
      </c>
      <c r="C5" s="2" t="s">
        <v>14</v>
      </c>
      <c r="D5" s="2" t="s">
        <v>15</v>
      </c>
      <c r="E5" s="2">
        <v>15</v>
      </c>
      <c r="F5" s="4">
        <v>12500</v>
      </c>
      <c r="G5" s="4">
        <f t="shared" ref="G5:G19" si="0">E5*F5</f>
        <v>187500</v>
      </c>
      <c r="H5" s="2">
        <v>5</v>
      </c>
      <c r="I5" s="2" t="str">
        <f t="shared" ref="I5:I19" si="1">IF(E5&lt;=H5,"⚠ BAJO","OK")</f>
        <v>OK</v>
      </c>
      <c r="J5" s="3" t="s">
        <v>16</v>
      </c>
    </row>
    <row r="6" spans="1:10" ht="22" customHeight="1" x14ac:dyDescent="0.35">
      <c r="A6" s="5" t="s">
        <v>17</v>
      </c>
      <c r="B6" s="6" t="s">
        <v>18</v>
      </c>
      <c r="C6" s="5" t="s">
        <v>14</v>
      </c>
      <c r="D6" s="5" t="s">
        <v>19</v>
      </c>
      <c r="E6" s="5">
        <v>8</v>
      </c>
      <c r="F6" s="7">
        <v>8900</v>
      </c>
      <c r="G6" s="7">
        <f t="shared" si="0"/>
        <v>71200</v>
      </c>
      <c r="H6" s="5">
        <v>3</v>
      </c>
      <c r="I6" s="5" t="str">
        <f t="shared" si="1"/>
        <v>OK</v>
      </c>
      <c r="J6" s="6" t="s">
        <v>20</v>
      </c>
    </row>
    <row r="7" spans="1:10" ht="22" customHeight="1" x14ac:dyDescent="0.35">
      <c r="A7" s="2" t="s">
        <v>21</v>
      </c>
      <c r="B7" s="3" t="s">
        <v>22</v>
      </c>
      <c r="C7" s="2" t="s">
        <v>23</v>
      </c>
      <c r="D7" s="2" t="s">
        <v>24</v>
      </c>
      <c r="E7" s="2">
        <v>4</v>
      </c>
      <c r="F7" s="4">
        <v>45000</v>
      </c>
      <c r="G7" s="4">
        <f t="shared" si="0"/>
        <v>180000</v>
      </c>
      <c r="H7" s="2">
        <v>2</v>
      </c>
      <c r="I7" s="2" t="str">
        <f t="shared" si="1"/>
        <v>OK</v>
      </c>
      <c r="J7" s="3" t="s">
        <v>20</v>
      </c>
    </row>
    <row r="8" spans="1:10" ht="22" customHeight="1" x14ac:dyDescent="0.35">
      <c r="A8" s="5" t="s">
        <v>25</v>
      </c>
      <c r="B8" s="6" t="s">
        <v>26</v>
      </c>
      <c r="C8" s="5" t="s">
        <v>27</v>
      </c>
      <c r="D8" s="5" t="s">
        <v>24</v>
      </c>
      <c r="E8" s="5">
        <v>20</v>
      </c>
      <c r="F8" s="7">
        <v>6500</v>
      </c>
      <c r="G8" s="7">
        <f t="shared" si="0"/>
        <v>130000</v>
      </c>
      <c r="H8" s="5">
        <v>5</v>
      </c>
      <c r="I8" s="5" t="str">
        <f t="shared" si="1"/>
        <v>OK</v>
      </c>
      <c r="J8" s="6" t="s">
        <v>20</v>
      </c>
    </row>
    <row r="9" spans="1:10" ht="22" customHeight="1" x14ac:dyDescent="0.35">
      <c r="A9" s="2" t="s">
        <v>28</v>
      </c>
      <c r="B9" s="3" t="s">
        <v>29</v>
      </c>
      <c r="C9" s="2" t="s">
        <v>14</v>
      </c>
      <c r="D9" s="2" t="s">
        <v>19</v>
      </c>
      <c r="E9" s="2">
        <v>6</v>
      </c>
      <c r="F9" s="4">
        <v>15000</v>
      </c>
      <c r="G9" s="4">
        <f t="shared" si="0"/>
        <v>90000</v>
      </c>
      <c r="H9" s="2">
        <v>2</v>
      </c>
      <c r="I9" s="2" t="str">
        <f t="shared" si="1"/>
        <v>OK</v>
      </c>
      <c r="J9" s="3" t="s">
        <v>20</v>
      </c>
    </row>
    <row r="10" spans="1:10" ht="22" customHeight="1" x14ac:dyDescent="0.35">
      <c r="A10" s="5" t="s">
        <v>30</v>
      </c>
      <c r="B10" s="6" t="s">
        <v>31</v>
      </c>
      <c r="C10" s="5" t="s">
        <v>14</v>
      </c>
      <c r="D10" s="5" t="s">
        <v>15</v>
      </c>
      <c r="E10" s="5">
        <v>2</v>
      </c>
      <c r="F10" s="7">
        <v>11000</v>
      </c>
      <c r="G10" s="7">
        <f t="shared" si="0"/>
        <v>22000</v>
      </c>
      <c r="H10" s="5">
        <v>5</v>
      </c>
      <c r="I10" s="5" t="str">
        <f t="shared" si="1"/>
        <v>⚠ BAJO</v>
      </c>
      <c r="J10" s="6" t="s">
        <v>32</v>
      </c>
    </row>
    <row r="11" spans="1:10" ht="22" customHeight="1" x14ac:dyDescent="0.35">
      <c r="A11" s="2" t="s">
        <v>33</v>
      </c>
      <c r="B11" s="3" t="s">
        <v>34</v>
      </c>
      <c r="C11" s="2" t="s">
        <v>23</v>
      </c>
      <c r="D11" s="2" t="s">
        <v>24</v>
      </c>
      <c r="E11" s="2">
        <v>3</v>
      </c>
      <c r="F11" s="4">
        <v>85000</v>
      </c>
      <c r="G11" s="4">
        <f t="shared" si="0"/>
        <v>255000</v>
      </c>
      <c r="H11" s="2">
        <v>2</v>
      </c>
      <c r="I11" s="2" t="str">
        <f t="shared" si="1"/>
        <v>OK</v>
      </c>
      <c r="J11" s="3" t="s">
        <v>20</v>
      </c>
    </row>
    <row r="12" spans="1:10" ht="22" customHeight="1" x14ac:dyDescent="0.35">
      <c r="A12" s="5" t="s">
        <v>35</v>
      </c>
      <c r="B12" s="6" t="s">
        <v>36</v>
      </c>
      <c r="C12" s="5" t="s">
        <v>23</v>
      </c>
      <c r="D12" s="5" t="s">
        <v>24</v>
      </c>
      <c r="E12" s="5">
        <v>2</v>
      </c>
      <c r="F12" s="7">
        <v>65000</v>
      </c>
      <c r="G12" s="7">
        <f t="shared" si="0"/>
        <v>130000</v>
      </c>
      <c r="H12" s="5">
        <v>2</v>
      </c>
      <c r="I12" s="5" t="str">
        <f t="shared" si="1"/>
        <v>⚠ BAJO</v>
      </c>
      <c r="J12" s="6" t="s">
        <v>20</v>
      </c>
    </row>
    <row r="13" spans="1:10" ht="22" customHeight="1" x14ac:dyDescent="0.35">
      <c r="A13" s="2" t="s">
        <v>37</v>
      </c>
      <c r="B13" s="3" t="s">
        <v>38</v>
      </c>
      <c r="C13" s="2" t="s">
        <v>23</v>
      </c>
      <c r="D13" s="2" t="s">
        <v>24</v>
      </c>
      <c r="E13" s="2">
        <v>10</v>
      </c>
      <c r="F13" s="4">
        <v>28000</v>
      </c>
      <c r="G13" s="4">
        <f t="shared" si="0"/>
        <v>280000</v>
      </c>
      <c r="H13" s="2">
        <v>5</v>
      </c>
      <c r="I13" s="2" t="str">
        <f t="shared" si="1"/>
        <v>OK</v>
      </c>
      <c r="J13" s="3" t="s">
        <v>20</v>
      </c>
    </row>
    <row r="14" spans="1:10" ht="22" customHeight="1" x14ac:dyDescent="0.35">
      <c r="A14" s="5" t="s">
        <v>39</v>
      </c>
      <c r="B14" s="6" t="s">
        <v>40</v>
      </c>
      <c r="C14" s="5" t="s">
        <v>14</v>
      </c>
      <c r="D14" s="5" t="s">
        <v>24</v>
      </c>
      <c r="E14" s="5">
        <v>5</v>
      </c>
      <c r="F14" s="7">
        <v>18500</v>
      </c>
      <c r="G14" s="7">
        <f t="shared" si="0"/>
        <v>92500</v>
      </c>
      <c r="H14" s="5">
        <v>2</v>
      </c>
      <c r="I14" s="5" t="str">
        <f t="shared" si="1"/>
        <v>OK</v>
      </c>
      <c r="J14" s="6" t="s">
        <v>20</v>
      </c>
    </row>
    <row r="15" spans="1:10" ht="22" customHeight="1" x14ac:dyDescent="0.35">
      <c r="A15" s="2" t="s">
        <v>41</v>
      </c>
      <c r="B15" s="3" t="s">
        <v>42</v>
      </c>
      <c r="C15" s="2" t="s">
        <v>14</v>
      </c>
      <c r="D15" s="2" t="s">
        <v>43</v>
      </c>
      <c r="E15" s="2">
        <v>4</v>
      </c>
      <c r="F15" s="4">
        <v>9500</v>
      </c>
      <c r="G15" s="4">
        <f t="shared" si="0"/>
        <v>38000</v>
      </c>
      <c r="H15" s="2">
        <v>3</v>
      </c>
      <c r="I15" s="2" t="str">
        <f t="shared" si="1"/>
        <v>OK</v>
      </c>
      <c r="J15" s="3" t="s">
        <v>20</v>
      </c>
    </row>
    <row r="16" spans="1:10" ht="22" customHeight="1" x14ac:dyDescent="0.35">
      <c r="A16" s="5" t="s">
        <v>44</v>
      </c>
      <c r="B16" s="6" t="s">
        <v>45</v>
      </c>
      <c r="C16" s="5" t="s">
        <v>14</v>
      </c>
      <c r="D16" s="5" t="s">
        <v>46</v>
      </c>
      <c r="E16" s="5">
        <v>1</v>
      </c>
      <c r="F16" s="7">
        <v>12000</v>
      </c>
      <c r="G16" s="7">
        <f t="shared" si="0"/>
        <v>12000</v>
      </c>
      <c r="H16" s="5">
        <v>3</v>
      </c>
      <c r="I16" s="5" t="str">
        <f t="shared" si="1"/>
        <v>⚠ BAJO</v>
      </c>
      <c r="J16" s="6" t="s">
        <v>32</v>
      </c>
    </row>
    <row r="17" spans="1:10" ht="22" customHeight="1" x14ac:dyDescent="0.35">
      <c r="A17" s="2" t="s">
        <v>47</v>
      </c>
      <c r="B17" s="3" t="s">
        <v>48</v>
      </c>
      <c r="C17" s="2" t="s">
        <v>14</v>
      </c>
      <c r="D17" s="2" t="s">
        <v>49</v>
      </c>
      <c r="E17" s="2">
        <v>7</v>
      </c>
      <c r="F17" s="4">
        <v>7800</v>
      </c>
      <c r="G17" s="4">
        <f t="shared" si="0"/>
        <v>54600</v>
      </c>
      <c r="H17" s="2">
        <v>4</v>
      </c>
      <c r="I17" s="2" t="str">
        <f t="shared" si="1"/>
        <v>OK</v>
      </c>
      <c r="J17" s="3" t="s">
        <v>20</v>
      </c>
    </row>
    <row r="18" spans="1:10" ht="22" customHeight="1" x14ac:dyDescent="0.35">
      <c r="A18" s="5" t="s">
        <v>50</v>
      </c>
      <c r="B18" s="6" t="s">
        <v>51</v>
      </c>
      <c r="C18" s="5" t="s">
        <v>14</v>
      </c>
      <c r="D18" s="5" t="s">
        <v>24</v>
      </c>
      <c r="E18" s="5">
        <v>3</v>
      </c>
      <c r="F18" s="7">
        <v>8200</v>
      </c>
      <c r="G18" s="7">
        <f t="shared" si="0"/>
        <v>24600</v>
      </c>
      <c r="H18" s="5">
        <v>2</v>
      </c>
      <c r="I18" s="5" t="str">
        <f t="shared" si="1"/>
        <v>OK</v>
      </c>
      <c r="J18" s="6" t="s">
        <v>20</v>
      </c>
    </row>
    <row r="19" spans="1:10" ht="22" customHeight="1" x14ac:dyDescent="0.35">
      <c r="A19" s="2" t="s">
        <v>52</v>
      </c>
      <c r="B19" s="3" t="s">
        <v>53</v>
      </c>
      <c r="C19" s="2" t="s">
        <v>23</v>
      </c>
      <c r="D19" s="2" t="s">
        <v>24</v>
      </c>
      <c r="E19" s="2">
        <v>1</v>
      </c>
      <c r="F19" s="4">
        <v>120000</v>
      </c>
      <c r="G19" s="4">
        <f t="shared" si="0"/>
        <v>120000</v>
      </c>
      <c r="H19" s="2">
        <v>2</v>
      </c>
      <c r="I19" s="2" t="str">
        <f t="shared" si="1"/>
        <v>⚠ BAJO</v>
      </c>
      <c r="J19" s="3" t="s">
        <v>32</v>
      </c>
    </row>
    <row r="20" spans="1:10" ht="28" customHeight="1" x14ac:dyDescent="0.35">
      <c r="A20" s="16" t="s">
        <v>54</v>
      </c>
      <c r="B20" s="15"/>
      <c r="C20" s="15"/>
      <c r="D20" s="15"/>
      <c r="E20" s="8">
        <f>SUM(E5:E19)</f>
        <v>91</v>
      </c>
      <c r="F20" s="9" t="s">
        <v>55</v>
      </c>
      <c r="G20" s="10">
        <f>SUM(G5:G19)</f>
        <v>1687400</v>
      </c>
      <c r="H20" s="11"/>
      <c r="I20" s="11"/>
      <c r="J20" s="11"/>
    </row>
  </sheetData>
  <mergeCells count="3">
    <mergeCell ref="A1:J1"/>
    <mergeCell ref="A20:D20"/>
    <mergeCell ref="A2:J2"/>
  </mergeCells>
  <conditionalFormatting sqref="I5:I19">
    <cfRule type="cellIs" dxfId="1" priority="1" operator="equal">
      <formula>"⚠ BAJO"</formula>
    </cfRule>
    <cfRule type="cellIs" dxfId="0" priority="2" operator="equal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7265625" defaultRowHeight="14.5" x14ac:dyDescent="0.35"/>
  <cols>
    <col min="1" max="1" width="18" customWidth="1"/>
    <col min="2" max="2" width="38" customWidth="1"/>
    <col min="3" max="3" width="15" customWidth="1"/>
    <col min="4" max="4" width="25" customWidth="1"/>
    <col min="5" max="5" width="14" customWidth="1"/>
  </cols>
  <sheetData>
    <row r="1" spans="1:5" ht="30" customHeight="1" x14ac:dyDescent="0.35">
      <c r="A1" s="18" t="s">
        <v>56</v>
      </c>
      <c r="B1" s="15"/>
      <c r="C1" s="15"/>
      <c r="D1" s="15"/>
      <c r="E1" s="15"/>
    </row>
    <row r="2" spans="1:5" ht="22" customHeight="1" x14ac:dyDescent="0.3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</row>
    <row r="3" spans="1:5" ht="22" customHeight="1" x14ac:dyDescent="0.35">
      <c r="A3" s="12" t="s">
        <v>2</v>
      </c>
      <c r="B3" s="12" t="s">
        <v>62</v>
      </c>
      <c r="C3" s="12" t="s">
        <v>63</v>
      </c>
      <c r="D3" s="12" t="s">
        <v>12</v>
      </c>
      <c r="E3" s="12" t="s">
        <v>64</v>
      </c>
    </row>
    <row r="4" spans="1:5" ht="22" customHeight="1" x14ac:dyDescent="0.35">
      <c r="A4" s="13" t="s">
        <v>65</v>
      </c>
      <c r="B4" s="13" t="s">
        <v>66</v>
      </c>
      <c r="C4" s="13" t="s">
        <v>63</v>
      </c>
      <c r="D4" s="13" t="s">
        <v>67</v>
      </c>
      <c r="E4" s="13" t="s">
        <v>64</v>
      </c>
    </row>
    <row r="5" spans="1:5" ht="22" customHeight="1" x14ac:dyDescent="0.35">
      <c r="A5" s="12" t="s">
        <v>4</v>
      </c>
      <c r="B5" s="12" t="s">
        <v>68</v>
      </c>
      <c r="C5" s="12" t="s">
        <v>63</v>
      </c>
      <c r="D5" s="12" t="s">
        <v>14</v>
      </c>
      <c r="E5" s="12" t="s">
        <v>64</v>
      </c>
    </row>
    <row r="6" spans="1:5" ht="22" customHeight="1" x14ac:dyDescent="0.35">
      <c r="A6" s="13" t="s">
        <v>5</v>
      </c>
      <c r="B6" s="13" t="s">
        <v>69</v>
      </c>
      <c r="C6" s="13" t="s">
        <v>63</v>
      </c>
      <c r="D6" s="13" t="s">
        <v>70</v>
      </c>
      <c r="E6" s="13" t="s">
        <v>64</v>
      </c>
    </row>
    <row r="7" spans="1:5" ht="22" customHeight="1" x14ac:dyDescent="0.35">
      <c r="A7" s="12" t="s">
        <v>6</v>
      </c>
      <c r="B7" s="12" t="s">
        <v>71</v>
      </c>
      <c r="C7" s="12" t="s">
        <v>72</v>
      </c>
      <c r="D7" s="12" t="s">
        <v>73</v>
      </c>
      <c r="E7" s="12" t="s">
        <v>64</v>
      </c>
    </row>
    <row r="8" spans="1:5" ht="22" customHeight="1" x14ac:dyDescent="0.35">
      <c r="A8" s="13" t="s">
        <v>74</v>
      </c>
      <c r="B8" s="13" t="s">
        <v>75</v>
      </c>
      <c r="C8" s="13" t="s">
        <v>72</v>
      </c>
      <c r="D8" s="13" t="s">
        <v>76</v>
      </c>
      <c r="E8" s="13" t="s">
        <v>64</v>
      </c>
    </row>
    <row r="9" spans="1:5" ht="22" customHeight="1" x14ac:dyDescent="0.35">
      <c r="A9" s="12" t="s">
        <v>77</v>
      </c>
      <c r="B9" s="12" t="s">
        <v>78</v>
      </c>
      <c r="C9" s="12" t="s">
        <v>79</v>
      </c>
      <c r="D9" s="12" t="e">
        <f>E5*F5</f>
        <v>#VALUE!</v>
      </c>
      <c r="E9" s="12" t="s">
        <v>80</v>
      </c>
    </row>
    <row r="10" spans="1:5" ht="22" customHeight="1" x14ac:dyDescent="0.35">
      <c r="A10" s="13" t="s">
        <v>9</v>
      </c>
      <c r="B10" s="13" t="s">
        <v>81</v>
      </c>
      <c r="C10" s="13" t="s">
        <v>72</v>
      </c>
      <c r="D10" s="13" t="s">
        <v>82</v>
      </c>
      <c r="E10" s="13" t="s">
        <v>64</v>
      </c>
    </row>
    <row r="11" spans="1:5" ht="22" customHeight="1" x14ac:dyDescent="0.35">
      <c r="A11" s="12" t="s">
        <v>10</v>
      </c>
      <c r="B11" s="12" t="s">
        <v>83</v>
      </c>
      <c r="C11" s="12" t="s">
        <v>79</v>
      </c>
      <c r="D11" s="12"/>
      <c r="E11" s="12" t="s">
        <v>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Florez</cp:lastModifiedBy>
  <dcterms:created xsi:type="dcterms:W3CDTF">2026-04-13T19:06:38Z</dcterms:created>
  <dcterms:modified xsi:type="dcterms:W3CDTF">2026-04-13T19:24:59Z</dcterms:modified>
</cp:coreProperties>
</file>